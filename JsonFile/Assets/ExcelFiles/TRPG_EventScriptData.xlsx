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A957A01A-DBC8-487B-B4C5-B8CAFEDCFDBB}" xr6:coauthVersionLast="47" xr6:coauthVersionMax="47" xr10:uidLastSave="{00000000-0000-0000-0000-000000000000}"/>
  <bookViews>
    <workbookView xWindow="1905" yWindow="1905" windowWidth="34995" windowHeight="15345" activeTab="1" xr2:uid="{00000000-000D-0000-FFFF-FFFF00000000}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G16" i="2" s="1"/>
  <c r="C18" i="2"/>
  <c r="H16" i="2" s="1"/>
  <c r="C19" i="2"/>
  <c r="C10" i="2"/>
  <c r="C11" i="1"/>
  <c r="C12" i="1"/>
  <c r="C13" i="1"/>
  <c r="C14" i="1"/>
  <c r="C15" i="1"/>
  <c r="C16" i="1"/>
  <c r="C17" i="1"/>
  <c r="C18" i="1"/>
  <c r="C19" i="1"/>
  <c r="C10" i="1"/>
  <c r="C9" i="2" l="1"/>
  <c r="C20" i="2"/>
  <c r="C21" i="2"/>
  <c r="C21" i="1"/>
  <c r="C20" i="1"/>
  <c r="C9" i="1"/>
  <c r="C8" i="2"/>
  <c r="C7" i="2"/>
  <c r="C6" i="2"/>
  <c r="C5" i="2"/>
  <c r="C4" i="2"/>
  <c r="C3" i="2"/>
  <c r="C2" i="2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<sst xmlns="http://schemas.openxmlformats.org/spreadsheetml/2006/main" count="119" uniqueCount="94">
  <si>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</si>
  <si>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</si>
  <si>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</si>
  <si>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</si>
  <si>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</si>
  <si>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</si>
  <si>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</si>
  <si>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</si>
  <si>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</si>
  <si>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</si>
  <si>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</si>
  <si>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</si>
  <si>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</si>
  <si>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</si>
  <si>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</si>
  <si>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</si>
  <si>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</si>
  <si>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</si>
  <si>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</si>
  <si>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</si>
  <si>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</si>
  <si>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</si>
  <si>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</si>
  <si>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</si>
  <si>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</si>
  <si>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</si>
  <si>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</si>
  <si>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</si>
  <si>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</si>
  <si>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</si>
  <si>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</si>
  <si>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</si>
  <si>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</si>
  <si>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</si>
  <si>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</si>
  <si>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</si>
  <si>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</si>
  <si>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</si>
  <si>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</si>
  <si>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</si>
  <si>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</si>
  <si>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</si>
  <si>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</si>
  <si>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</si>
  <si>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</si>
  <si>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</si>
  <si>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</si>
  <si>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</si>
  <si>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</si>
  <si>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</si>
  <si>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</si>
  <si>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</si>
  <si>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공격한다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</si>
  <si>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</si>
  <si>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</si>
  <si>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</si>
  <si>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</si>
  <si>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</si>
  <si>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</si>
  <si>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</si>
  <si>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</si>
  <si>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</si>
  <si>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</si>
  <si>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</si>
  <si>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</si>
  <si>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</si>
  <si>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</si>
  <si>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실패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</si>
  <si>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</si>
  <si>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</si>
  <si>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</si>
  <si>
    <t xml:space="preserve">다행히 무사히 빠져나오며 영혼이 모여드는 기분을 받았다
</t>
    <phoneticPr fontId="3" type="noConversion"/>
  </si>
  <si>
    <t xml:space="preserve">허우적 대다가 넘어지며 다쳤지만 무사히 빠져나왔다.
</t>
    <phoneticPr fontId="3" type="noConversion"/>
  </si>
  <si>
    <t xml:space="preserve">고블린이다
</t>
    <phoneticPr fontId="3" type="noConversion"/>
  </si>
  <si>
    <r>
      <rPr>
        <sz val="11"/>
        <color theme="1"/>
        <rFont val="맑은 고딕"/>
        <family val="3"/>
        <charset val="129"/>
      </rPr>
      <t>아직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나를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발견하지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못한것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</si>
  <si>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기습한다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</si>
  <si>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미간에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바람구멍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하나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놔줬다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</si>
  <si>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r>
      <rPr>
        <sz val="11"/>
        <color theme="1"/>
        <rFont val="맑은 고딕"/>
        <family val="3"/>
        <charset val="129"/>
      </rPr>
      <t>다음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지역으로</t>
    </r>
    <r>
      <rPr>
        <sz val="11"/>
        <color theme="1"/>
        <rFont val="Aptos Narrow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넘어가야지</t>
    </r>
    <r>
      <rPr>
        <sz val="11"/>
        <color theme="1"/>
        <rFont val="Aptos Narrow"/>
        <family val="3"/>
        <charset val="129"/>
        <scheme val="minor"/>
      </rPr>
      <t xml:space="preserve">
</t>
    </r>
    <phoneticPr fontId="3" type="noConversion"/>
  </si>
  <si>
    <t>EventScript_1_5</t>
  </si>
  <si>
    <t>EventScript_1_6</t>
  </si>
  <si>
    <t>EventScript_1_7</t>
  </si>
  <si>
    <t>EventScript_1_6</t>
    <phoneticPr fontId="3" type="noConversion"/>
  </si>
  <si>
    <t>IMAGE</t>
    <phoneticPr fontId="3" type="noConversion"/>
  </si>
  <si>
    <t>EventScript_1_3</t>
    <phoneticPr fontId="3" type="noConversion"/>
  </si>
  <si>
    <t xml:space="preserve">그림자를 따라간다.
</t>
    <phoneticPr fontId="3" type="noConversion"/>
  </si>
  <si>
    <t xml:space="preserve">위험을 피한다.
</t>
    <phoneticPr fontId="3" type="noConversion"/>
  </si>
  <si>
    <t xml:space="preserve">숨을 죽인다.
</t>
    <phoneticPr fontId="3" type="noConversion"/>
  </si>
  <si>
    <t xml:space="preserve">안개 속으로 발을 들인다.
</t>
    <phoneticPr fontId="3" type="noConversion"/>
  </si>
  <si>
    <t xml:space="preserve">테스트용입니다 2_1
</t>
    <phoneticPr fontId="3" type="noConversion"/>
  </si>
  <si>
    <t>monster_001</t>
    <phoneticPr fontId="3" type="noConversion"/>
  </si>
  <si>
    <t>NEXTWIN</t>
    <phoneticPr fontId="3" type="noConversion"/>
  </si>
  <si>
    <t>NEXTLOSE</t>
    <phoneticPr fontId="3" type="noConversion"/>
  </si>
  <si>
    <t>EventScene_1_2</t>
    <phoneticPr fontId="3" type="noConversion"/>
  </si>
  <si>
    <t>EventScene_1_3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</si>
</sst>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5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zoomScale="70" zoomScaleNormal="70" workbookViewId="0">
      <selection activeCell="G3" sqref="G3"/>
    </sheetView>
  </sheetViews>
  <sheetFormatPr defaultColWidth="12.625" defaultRowHeight="15" customHeight="1"/>
  <cols>
    <col min="1" max="1" width="19.75" bestFit="1" customWidth="1"/>
    <col min="2" max="2" width="12.125" bestFit="1" customWidth="1"/>
    <col min="3" max="3" width="18.25" bestFit="1" customWidth="1"/>
    <col min="4" max="4" width="14.875" bestFit="1" customWidth="1"/>
    <col min="5" max="7" width="15.25" bestFit="1" customWidth="1"/>
    <col min="8" max="8" width="13.75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45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19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83</v>
      </c>
      <c r="G3" s="3" t="s">
        <v>81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 t="s">
        <v>78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 t="s">
        <v>79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 t="s">
        <v>80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2</v>
      </c>
      <c r="B9" s="1">
        <v>1</v>
      </c>
      <c r="C9" s="3" t="str">
        <f t="shared" si="0"/>
        <v>EventScene_2_1</v>
      </c>
      <c r="D9" s="3">
        <v>1</v>
      </c>
      <c r="E9" s="3" t="s">
        <v>49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7">
        <v>2</v>
      </c>
      <c r="C10" s="8" t="str">
        <f t="shared" si="0"/>
        <v>EventScene_2_2</v>
      </c>
      <c r="D10" s="3">
        <v>1</v>
      </c>
      <c r="E10" s="3" t="s">
        <v>54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1">
        <v>3</v>
      </c>
      <c r="C11" s="3" t="str">
        <f t="shared" si="0"/>
        <v>EventScene_2_3</v>
      </c>
      <c r="D11" s="3">
        <v>1</v>
      </c>
      <c r="E11" s="3" t="s">
        <v>55</v>
      </c>
      <c r="F11" s="3" t="s">
        <v>56</v>
      </c>
      <c r="G11" s="3" t="s">
        <v>64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7">
        <v>4</v>
      </c>
      <c r="C12" s="3" t="str">
        <f t="shared" si="0"/>
        <v>EventScene_2_4</v>
      </c>
      <c r="D12" s="3">
        <v>1</v>
      </c>
      <c r="E12" s="3" t="s">
        <v>56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1">
        <v>5</v>
      </c>
      <c r="C13" s="3" t="str">
        <f t="shared" si="0"/>
        <v>EventScene_2_5</v>
      </c>
      <c r="D13" s="3">
        <v>1</v>
      </c>
      <c r="E13" s="3" t="s">
        <v>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7">
        <v>6</v>
      </c>
      <c r="C14" s="3" t="str">
        <f t="shared" si="0"/>
        <v>EventScene_2_6</v>
      </c>
      <c r="D14" s="3">
        <v>1</v>
      </c>
      <c r="E14" s="3" t="s">
        <v>58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1">
        <v>7</v>
      </c>
      <c r="C15" s="3" t="str">
        <f t="shared" si="0"/>
        <v>EventScene_2_7</v>
      </c>
      <c r="D15" s="3">
        <v>1</v>
      </c>
      <c r="E15" s="3" t="s">
        <v>59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7">
        <v>8</v>
      </c>
      <c r="C16" s="3" t="str">
        <f t="shared" si="0"/>
        <v>EventScene_2_8</v>
      </c>
      <c r="D16" s="3">
        <v>1</v>
      </c>
      <c r="E16" s="3" t="s">
        <v>60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1">
        <v>9</v>
      </c>
      <c r="C17" s="3" t="str">
        <f t="shared" si="0"/>
        <v>EventScene_2_9</v>
      </c>
      <c r="D17" s="3">
        <v>1</v>
      </c>
      <c r="E17" s="3" t="s">
        <v>61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7">
        <v>10</v>
      </c>
      <c r="C18" s="3" t="str">
        <f t="shared" si="0"/>
        <v>EventScene_2_10</v>
      </c>
      <c r="D18" s="3">
        <v>1</v>
      </c>
      <c r="E18" s="3" t="s">
        <v>62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1">
        <v>11</v>
      </c>
      <c r="C19" s="3" t="str">
        <f t="shared" si="0"/>
        <v>EventScene_2_11</v>
      </c>
      <c r="D19" s="3">
        <v>1</v>
      </c>
      <c r="E19" s="3" t="s">
        <v>63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3</v>
      </c>
      <c r="B20" s="1">
        <v>1</v>
      </c>
      <c r="C20" s="3" t="str">
        <f t="shared" ref="C20:C21" si="1">CONCATENATE("EventScene_",A20,"_",B20)</f>
        <v>EventScene_3_1</v>
      </c>
      <c r="D20" s="3">
        <v>1</v>
      </c>
      <c r="E20" s="3" t="s">
        <v>50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4</v>
      </c>
      <c r="B21" s="1">
        <v>1</v>
      </c>
      <c r="C21" s="3" t="str">
        <f t="shared" si="1"/>
        <v>EventScene_4_1</v>
      </c>
      <c r="D21" s="3">
        <v>1</v>
      </c>
      <c r="E21" s="3" t="s">
        <v>51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/>
      <c r="B22" s="1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4" workbookViewId="0">
      <selection activeCell="G19" sqref="G19"/>
    </sheetView>
  </sheetViews>
  <sheetFormatPr defaultColWidth="12.625" defaultRowHeight="13.5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7" width="14.875" bestFit="1" customWidth="1"/>
    <col min="8" max="8" width="16" bestFit="1" customWidth="1"/>
    <col min="9" max="26" width="7.625" customWidth="1"/>
  </cols>
  <sheetData>
    <row r="1" spans="1:26" ht="16.5">
      <c r="A1" s="4" t="s">
        <v>39</v>
      </c>
      <c r="B1" s="4" t="s">
        <v>11</v>
      </c>
      <c r="C1" s="2" t="s">
        <v>12</v>
      </c>
      <c r="D1" s="2" t="s">
        <v>13</v>
      </c>
      <c r="E1" s="4" t="s">
        <v>40</v>
      </c>
      <c r="F1" s="4" t="s">
        <v>43</v>
      </c>
      <c r="G1" s="11" t="s">
        <v>90</v>
      </c>
      <c r="H1" s="11" t="s">
        <v>91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33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12" t="s">
        <v>87</v>
      </c>
      <c r="E2" s="4" t="s">
        <v>41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>
      <c r="A3" s="4">
        <v>1</v>
      </c>
      <c r="B3" s="4">
        <v>2</v>
      </c>
      <c r="C3" s="3" t="str">
        <f t="shared" si="0"/>
        <v>EventScript_1_2</v>
      </c>
      <c r="D3" s="4" t="s">
        <v>44</v>
      </c>
      <c r="E3" s="4" t="s">
        <v>82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33">
      <c r="A4" s="4">
        <v>1</v>
      </c>
      <c r="B4" s="4">
        <v>3</v>
      </c>
      <c r="C4" s="3" t="str">
        <f t="shared" si="0"/>
        <v>EventScript_1_3</v>
      </c>
      <c r="D4" s="12" t="s">
        <v>86</v>
      </c>
      <c r="E4" s="4" t="s">
        <v>41</v>
      </c>
      <c r="G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33">
      <c r="A5" s="4">
        <v>1</v>
      </c>
      <c r="B5" s="4">
        <v>4</v>
      </c>
      <c r="C5" s="3" t="str">
        <f t="shared" si="0"/>
        <v>EventScript_1_4</v>
      </c>
      <c r="D5" s="12" t="s">
        <v>71</v>
      </c>
      <c r="E5" s="4" t="s">
        <v>41</v>
      </c>
      <c r="F5" s="4" t="s">
        <v>42</v>
      </c>
      <c r="G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33">
      <c r="A6" s="4">
        <v>1</v>
      </c>
      <c r="B6" s="4">
        <v>5</v>
      </c>
      <c r="C6" s="3" t="str">
        <f t="shared" si="0"/>
        <v>EventScript_1_5</v>
      </c>
      <c r="D6" s="12" t="s">
        <v>85</v>
      </c>
      <c r="E6" s="4" t="s">
        <v>41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33">
      <c r="A7" s="4">
        <v>1</v>
      </c>
      <c r="B7" s="4">
        <v>6</v>
      </c>
      <c r="C7" s="3" t="str">
        <f t="shared" si="0"/>
        <v>EventScript_1_6</v>
      </c>
      <c r="D7" s="12" t="s">
        <v>84</v>
      </c>
      <c r="E7" s="4" t="s">
        <v>41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33">
      <c r="A8" s="4">
        <v>1</v>
      </c>
      <c r="B8" s="4">
        <v>7</v>
      </c>
      <c r="C8" s="3" t="str">
        <f t="shared" si="0"/>
        <v>EventScript_1_7</v>
      </c>
      <c r="D8" s="12" t="s">
        <v>72</v>
      </c>
      <c r="E8" s="4" t="s">
        <v>41</v>
      </c>
      <c r="F8" s="4" t="s">
        <v>42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33">
      <c r="A9" s="4">
        <v>2</v>
      </c>
      <c r="B9" s="4">
        <v>1</v>
      </c>
      <c r="C9" s="3" t="str">
        <f t="shared" si="0"/>
        <v>EventScript_2_1</v>
      </c>
      <c r="D9" s="12" t="s">
        <v>88</v>
      </c>
      <c r="E9" s="4" t="s">
        <v>41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33">
      <c r="A10" s="4">
        <v>2</v>
      </c>
      <c r="B10" s="10">
        <v>2</v>
      </c>
      <c r="C10" s="11" t="str">
        <f t="shared" si="0"/>
        <v>EventScript_2_2</v>
      </c>
      <c r="D10" s="13" t="s">
        <v>73</v>
      </c>
      <c r="E10" s="9" t="s">
        <v>65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33">
      <c r="A11" s="4">
        <v>2</v>
      </c>
      <c r="B11" s="4">
        <v>3</v>
      </c>
      <c r="C11" s="11" t="str">
        <f t="shared" si="0"/>
        <v>EventScript_2_3</v>
      </c>
      <c r="D11" s="14" t="s">
        <v>74</v>
      </c>
      <c r="E11" s="9" t="s">
        <v>65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33">
      <c r="A12" s="4">
        <v>2</v>
      </c>
      <c r="B12" s="10">
        <v>4</v>
      </c>
      <c r="C12" s="11" t="str">
        <f t="shared" si="0"/>
        <v>EventScript_2_4</v>
      </c>
      <c r="D12" s="14" t="s">
        <v>75</v>
      </c>
      <c r="E12" s="9" t="s">
        <v>65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33">
      <c r="A13" s="4">
        <v>2</v>
      </c>
      <c r="B13" s="4">
        <v>5</v>
      </c>
      <c r="C13" s="11" t="str">
        <f t="shared" si="0"/>
        <v>EventScript_2_5</v>
      </c>
      <c r="D13" s="14" t="s">
        <v>76</v>
      </c>
      <c r="E13" s="9" t="s">
        <v>65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33">
      <c r="A14" s="4">
        <v>2</v>
      </c>
      <c r="B14" s="10">
        <v>6</v>
      </c>
      <c r="C14" s="11" t="str">
        <f t="shared" si="0"/>
        <v>EventScript_2_6</v>
      </c>
      <c r="D14" s="14" t="s">
        <v>77</v>
      </c>
      <c r="E14" s="9" t="s">
        <v>65</v>
      </c>
      <c r="F14" s="4" t="s">
        <v>66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>
      <c r="A15" s="4">
        <v>2</v>
      </c>
      <c r="B15" s="4">
        <v>7</v>
      </c>
      <c r="C15" s="11" t="str">
        <f t="shared" si="0"/>
        <v>EventScript_2_7</v>
      </c>
      <c r="D15" s="9" t="s">
        <v>52</v>
      </c>
      <c r="E15" s="9" t="s">
        <v>65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>
      <c r="A16" s="4">
        <v>2</v>
      </c>
      <c r="B16" s="10">
        <v>8</v>
      </c>
      <c r="C16" s="11" t="str">
        <f t="shared" si="0"/>
        <v>EventScript_2_8</v>
      </c>
      <c r="D16" s="4" t="s">
        <v>89</v>
      </c>
      <c r="E16" s="4" t="s">
        <v>53</v>
      </c>
      <c r="F16" s="4"/>
      <c r="G16" s="4" t="str">
        <f>VLOOKUP(C17,C17,1,FALSE)</f>
        <v>EventScript_2_9</v>
      </c>
      <c r="H16" s="4" t="str">
        <f>VLOOKUP(C18,C18,1,FALSE)</f>
        <v>EventScript_2_10</v>
      </c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>
      <c r="A17" s="4">
        <v>2</v>
      </c>
      <c r="B17" s="4">
        <v>9</v>
      </c>
      <c r="C17" s="11" t="str">
        <f t="shared" si="0"/>
        <v>EventScript_2_9</v>
      </c>
      <c r="D17" s="4" t="s">
        <v>68</v>
      </c>
      <c r="E17" s="9" t="s">
        <v>41</v>
      </c>
      <c r="F17" s="9" t="s">
        <v>70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>
      <c r="A18" s="4">
        <v>2</v>
      </c>
      <c r="B18" s="10">
        <v>10</v>
      </c>
      <c r="C18" s="11" t="str">
        <f t="shared" si="0"/>
        <v>EventScript_2_10</v>
      </c>
      <c r="D18" s="4" t="s">
        <v>67</v>
      </c>
      <c r="E18" s="9" t="s">
        <v>41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>
      <c r="A19" s="4">
        <v>2</v>
      </c>
      <c r="B19" s="10">
        <v>11</v>
      </c>
      <c r="C19" s="11" t="str">
        <f t="shared" si="0"/>
        <v>EventScript_2_11</v>
      </c>
      <c r="D19" s="9" t="s">
        <v>69</v>
      </c>
      <c r="E19" s="9" t="s">
        <v>41</v>
      </c>
      <c r="F19" s="9" t="s">
        <v>46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>
      <c r="A20" s="4">
        <v>3</v>
      </c>
      <c r="B20" s="4">
        <v>1</v>
      </c>
      <c r="C20" s="3" t="str">
        <f>CONCATENATE("EventScript_",A20,"_",B20)</f>
        <v>EventScript_3_1</v>
      </c>
      <c r="D20" s="4" t="s">
        <v>47</v>
      </c>
      <c r="E20" s="4" t="s">
        <v>41</v>
      </c>
      <c r="F20" s="4" t="s">
        <v>46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>
      <c r="A21" s="4">
        <v>4</v>
      </c>
      <c r="B21" s="4">
        <v>1</v>
      </c>
      <c r="C21" s="3" t="str">
        <f>CONCATENATE("EventScript_",A21,"_",B21)</f>
        <v>EventScript_4_1</v>
      </c>
      <c r="D21" s="4" t="s">
        <v>48</v>
      </c>
      <c r="E21" s="4" t="s">
        <v>41</v>
      </c>
      <c r="F21" s="4" t="s">
        <v>46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I19" sqref="I19"/>
    </sheetView>
  </sheetViews>
  <sheetFormatPr defaultColWidth="12.625" defaultRowHeight="15" customHeight="1"/>
  <cols>
    <col min="1" max="1" width="15.125" bestFit="1" customWidth="1"/>
    <col min="2" max="2" width="11.125" bestFit="1" customWidth="1"/>
    <col min="3" max="3" width="17" bestFit="1" customWidth="1"/>
    <col min="4" max="4" width="20.125" bestFit="1" customWidth="1"/>
    <col min="5" max="5" width="16.125" bestFit="1" customWidth="1"/>
    <col min="6" max="6" width="14.625" bestFit="1" customWidth="1"/>
    <col min="7" max="7" width="10.625" bestFit="1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14</v>
      </c>
      <c r="B1" s="2" t="s">
        <v>15</v>
      </c>
      <c r="C1" s="2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92</v>
      </c>
      <c r="B2" s="4">
        <v>1</v>
      </c>
      <c r="C2" s="4" t="s">
        <v>22</v>
      </c>
      <c r="D2" s="3" t="s">
        <v>93</v>
      </c>
      <c r="E2" s="3" t="s">
        <v>24</v>
      </c>
      <c r="F2" s="4" t="s">
        <v>25</v>
      </c>
      <c r="G2" s="4" t="s">
        <v>26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21</v>
      </c>
      <c r="B3" s="4">
        <v>2</v>
      </c>
      <c r="C3" s="4" t="s">
        <v>27</v>
      </c>
      <c r="D3" s="3" t="s">
        <v>23</v>
      </c>
      <c r="E3" s="3" t="s">
        <v>24</v>
      </c>
      <c r="F3" s="4" t="s">
        <v>25</v>
      </c>
      <c r="G3" s="4" t="s">
        <v>26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28</v>
      </c>
      <c r="B1" s="2" t="s">
        <v>29</v>
      </c>
      <c r="C1" s="2" t="s">
        <v>30</v>
      </c>
      <c r="D1" s="2" t="s">
        <v>31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25</v>
      </c>
      <c r="B2" s="4" t="s">
        <v>32</v>
      </c>
      <c r="C2" s="4">
        <v>1</v>
      </c>
      <c r="D2" s="4" t="s">
        <v>33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26</v>
      </c>
      <c r="B3" s="4" t="s">
        <v>34</v>
      </c>
      <c r="C3" s="4">
        <v>1</v>
      </c>
      <c r="D3" s="4" t="s">
        <v>35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36</v>
      </c>
      <c r="B4" s="4" t="s">
        <v>37</v>
      </c>
      <c r="C4" s="4">
        <v>1</v>
      </c>
      <c r="D4" s="4" t="s">
        <v>38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태경 김</cp:lastModifiedBy>
  <dcterms:created xsi:type="dcterms:W3CDTF">2025-04-15T01:24:23Z</dcterms:created>
  <dcterms:modified xsi:type="dcterms:W3CDTF">2025-06-07T10:07:11Z</dcterms:modified>
</cp:coreProperties>
</file>