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D9CFCE14-71EA-4ABE-9A0F-DE6D5CD54FA0}" xr6:coauthVersionLast="47" xr6:coauthVersionMax="47" xr10:uidLastSave="{00000000-0000-0000-0000-000000000000}"/>
  <bookViews>
    <workbookView xWindow="-120" yWindow="-120" windowWidth="38640" windowHeight="2112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77" i="1" l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<sst xmlns="http://schemas.openxmlformats.org/spreadsheetml/2006/main" count="319" uniqueCount="215">
  <si>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</si>
  <si>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</si>
  <si>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</si>
  <si>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</si>
  <si>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</si>
  <si>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</si>
  <si>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</si>
  <si>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</si>
  <si>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</si>
  <si>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</si>
  <si>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</si>
  <si>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</si>
  <si>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</si>
  <si>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</si>
  <si>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</si>
  <si>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</si>
  <si>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</si>
  <si>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</si>
  <si>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</si>
  <si>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</si>
  <si>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</si>
  <si>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</si>
  <si>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</si>
  <si>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</si>
  <si>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</si>
  <si>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</si>
  <si>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</si>
  <si>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</si>
  <si>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</si>
  <si>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</si>
  <si>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</si>
  <si>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</si>
  <si>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</si>
  <si>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</si>
  <si>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</si>
  <si>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</si>
  <si>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</si>
  <si>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</si>
  <si>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</si>
  <si>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</si>
  <si>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</si>
  <si>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</si>
  <si>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</si>
  <si>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</si>
  <si>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</si>
  <si>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</si>
  <si>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</si>
  <si>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</si>
  <si>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</si>
  <si>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</si>
  <si>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</si>
  <si>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</si>
  <si>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</si>
  <si>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</si>
  <si>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</si>
  <si>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</si>
  <si>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</si>
  <si>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</si>
  <si>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</si>
  <si>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</si>
  <si>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</si>
  <si>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</si>
  <si>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</si>
  <si>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</si>
  <si>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</si>
  <si>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</si>
  <si>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</si>
  <si>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</si>
  <si>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</si>
  <si>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</si>
  <si>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</si>
  <si>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</si>
  <si>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</si>
  <si>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</si>
  <si>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</si>
  <si>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</si>
  <si>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</si>
  <si>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</si>
  <si>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</si>
  <si>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</si>
  <si>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</si>
  <si>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</si>
  <si>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</si>
  <si>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</si>
  <si>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</si>
  <si>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</si>
  <si>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</si>
  <si>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</si>
  <si>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</si>
  <si>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</si>
  <si>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</si>
  <si>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</si>
  <si>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</si>
  <si>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</si>
  <si>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</si>
  <si>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</si>
  <si>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</si>
  <si>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</si>
  <si>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</si>
  <si>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</si>
  <si>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</si>
  <si>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</si>
  <si>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</si>
  <si>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</si>
  <si>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</si>
  <si>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</si>
  <si>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</si>
  <si>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</si>
  <si>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</si>
  <si>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</si>
  <si>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</si>
  <si>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</si>
  <si>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</si>
  <si>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</si>
  <si>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</si>
  <si>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</si>
  <si>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</si>
  <si>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</si>
  <si>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</si>
  <si>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</si>
  <si>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</si>
  <si>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</si>
  <si>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</si>
  <si>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</si>
  <si>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</si>
  <si>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</si>
  <si>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</si>
  <si>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</si>
  <si>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</si>
  <si>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</si>
  <si>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</si>
  <si>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</si>
  <si>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</si>
  <si>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</si>
  <si>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</si>
  <si>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</si>
  <si>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</si>
  <si>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</si>
  <si>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</si>
  <si>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</si>
  <si>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</si>
  <si>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</si>
  <si>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</si>
  <si>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</si>
  <si>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</si>
  <si>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</si>
  <si>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</si>
  <si>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</si>
  <si>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</si>
  <si>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</si>
  <si>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</si>
  <si>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</si>
  <si>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</si>
  <si>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</si>
  <si>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</si>
  <si>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</si>
  <si>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</si>
  <si>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</si>
  <si>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</si>
  <si>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</si>
  <si>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</si>
  <si>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</si>
  <si>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</si>
  <si>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</si>
  <si>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</si>
  <si>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</si>
  <si>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</si>
  <si>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</si>
  <si>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</si>
  <si>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</si>
  <si>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</si>
  <si>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</si>
  <si>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</si>
  <si>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</si>
  <si>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</si>
  <si>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</si>
  <si>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</si>
  <si>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</si>
  <si>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</si>
  <si>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</si>
  <si>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</si>
  <si>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</si>
  <si>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6" type="noConversion"/>
  </si>
  <si>
    <t>Soul</t>
    <phoneticPr fontId="6" type="noConversion"/>
  </si>
  <si>
    <t>HP</t>
    <phoneticPr fontId="6" type="noConversion"/>
  </si>
  <si>
    <t>BATTLE</t>
    <phoneticPr fontId="6" type="noConversion"/>
  </si>
  <si>
    <t>CLAER</t>
  </si>
  <si>
    <t>Effect_001</t>
    <phoneticPr fontId="6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</si>
  <si>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</si>
  <si>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</si>
  <si>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6" type="noConversion"/>
  </si>
  <si>
    <t>소울 추가/감소</t>
    <phoneticPr fontId="6" type="noConversion"/>
  </si>
  <si>
    <t>아이템 추가/제거</t>
    <phoneticPr fontId="6" type="noConversion"/>
  </si>
  <si>
    <t>[{"ID":"Effect_001","Value":100},{"ID":"Effect_002","Value":-1},{"ID":"Effect_003","Code":"Weapon_005","Value":1}]</t>
    <phoneticPr fontId="6" type="noConversion"/>
  </si>
  <si>
    <t>상인을 만났다</t>
    <phoneticPr fontId="6" type="noConversion"/>
  </si>
  <si>
    <t>거래를 한다</t>
    <phoneticPr fontId="6" type="noConversion"/>
  </si>
  <si>
    <t>그냥 간다</t>
    <phoneticPr fontId="6" type="noConversion"/>
  </si>
  <si>
    <t>다음 스토리로 넘어감</t>
    <phoneticPr fontId="6" type="noConversion"/>
  </si>
  <si>
    <t>MERCHANT</t>
    <phoneticPr fontId="6" type="noConversion"/>
  </si>
  <si>
    <t>MainScript_1_5_1</t>
    <phoneticPr fontId="6" type="noConversion"/>
  </si>
  <si>
    <t>MainScript_1_5_2</t>
  </si>
  <si>
    <t>MainScript_1_5_3</t>
  </si>
  <si>
    <t>MainScript_1_5_4</t>
  </si>
  <si>
    <t>MainScript_1_5_5</t>
  </si>
  <si>
    <t>General</t>
    <phoneticPr fontId="6" type="noConversion"/>
  </si>
  <si>
    <t>MainScript_1_1_25</t>
  </si>
  <si>
    <t>MainScript_1_2_20</t>
  </si>
  <si>
    <t>MainScript_1_3_15</t>
  </si>
  <si>
    <t>MainScript_1_4_16</t>
  </si>
  <si>
    <t>MainScript_1_3_5</t>
    <phoneticPr fontId="6" type="noConversion"/>
  </si>
  <si>
    <t>[{"ID":"Effect_001","Value":100}]</t>
    <phoneticPr fontId="6" type="noConversion"/>
  </si>
  <si>
    <t>[{"ID":"Effect_003","Code":"Weapon_004","Value":1}]</t>
    <phoneticPr fontId="6" type="noConversion"/>
  </si>
  <si>
    <t>[{"ID":"Effect_003","Code":"Weapon_001","Value":1}]</t>
    <phoneticPr fontId="6" type="noConversion"/>
  </si>
  <si>
    <t>[{"ID":"Effect_002","Code":"Weapon_003","Value":1}]</t>
    <phoneticPr fontId="6" type="noConversion"/>
  </si>
  <si>
    <t>MainScene_1_1_1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</si>
</sst>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topLeftCell="A19" workbookViewId="0">
      <selection activeCell="R54" sqref="R54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99</v>
      </c>
      <c r="H2" s="3"/>
      <c r="I2" s="3" t="s">
        <v>214</v>
      </c>
      <c r="J2" s="3"/>
      <c r="K2" s="3" t="s">
        <v>214</v>
      </c>
      <c r="L2" s="3"/>
      <c r="M2" s="3" t="s">
        <v>214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 t="s">
        <v>193</v>
      </c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 t="s">
        <v>210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56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57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100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101</v>
      </c>
      <c r="G25" s="5"/>
      <c r="H25" s="5" t="s">
        <v>205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205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61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64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91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92</v>
      </c>
      <c r="G32" s="5"/>
      <c r="H32" s="3" t="s">
        <v>85</v>
      </c>
      <c r="I32" s="3"/>
      <c r="J32" s="3" t="s">
        <v>113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85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67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82" si="2">CONCATENATE("MainScene_",A36,"_",B36,"_",C36)</f>
        <v>MainScene_1_2_10</v>
      </c>
      <c r="E36" s="3"/>
      <c r="F36" s="3" t="s">
        <v>87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93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102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111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118</v>
      </c>
      <c r="F40" s="3" t="s">
        <v>112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113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114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115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116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117</v>
      </c>
      <c r="G45" s="5"/>
      <c r="H45" s="3" t="s">
        <v>206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206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152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153</v>
      </c>
      <c r="G48" s="5" t="s">
        <v>210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154</v>
      </c>
      <c r="G49" s="5" t="s">
        <v>210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155</v>
      </c>
      <c r="G50" s="5" t="s">
        <v>210</v>
      </c>
      <c r="H50" s="3" t="s">
        <v>209</v>
      </c>
      <c r="J50" s="3" t="s">
        <v>157</v>
      </c>
      <c r="L50" s="3" t="s">
        <v>158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181</v>
      </c>
      <c r="F51" s="3" t="s">
        <v>156</v>
      </c>
      <c r="G51" s="26" t="s">
        <v>212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181</v>
      </c>
      <c r="F52" s="3" t="s">
        <v>157</v>
      </c>
      <c r="G52" s="26" t="s">
        <v>213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181</v>
      </c>
      <c r="F53" s="3" t="s">
        <v>158</v>
      </c>
      <c r="G53" s="26" t="s">
        <v>211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159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160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180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161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162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163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164</v>
      </c>
      <c r="G60" s="5"/>
      <c r="H60" s="3" t="s">
        <v>207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207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165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166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167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168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169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170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171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172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173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174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175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176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177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178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179</v>
      </c>
      <c r="G76" s="5"/>
      <c r="H76" s="3" t="s">
        <v>208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208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199</v>
      </c>
      <c r="G78" s="5"/>
      <c r="H78" s="3" t="s">
        <v>200</v>
      </c>
      <c r="I78" s="3"/>
      <c r="J78" s="3" t="s">
        <v>201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200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201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202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203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opLeftCell="A43" workbookViewId="0">
      <selection activeCell="E52" sqref="E52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5" t="s">
        <v>48</v>
      </c>
      <c r="I1" s="5" t="s">
        <v>49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60</v>
      </c>
      <c r="F2" s="18" t="s">
        <v>55</v>
      </c>
      <c r="G2" s="5"/>
      <c r="H2" s="5" t="s">
        <v>130</v>
      </c>
      <c r="I2" s="5" t="s">
        <v>131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50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51</v>
      </c>
      <c r="F4" s="5" t="s">
        <v>186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96</v>
      </c>
      <c r="F5" s="18" t="s">
        <v>55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54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30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30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97</v>
      </c>
      <c r="F15" s="5" t="s">
        <v>55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83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82</v>
      </c>
      <c r="F17" s="5" t="s">
        <v>30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98</v>
      </c>
      <c r="F18" s="5" t="s">
        <v>55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81</v>
      </c>
      <c r="F19" s="5" t="s">
        <v>30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80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76</v>
      </c>
      <c r="F21" s="5" t="s">
        <v>30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77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78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79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72</v>
      </c>
      <c r="F25" s="5" t="s">
        <v>30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197</v>
      </c>
      <c r="F26" s="5" t="s">
        <v>30</v>
      </c>
      <c r="G26" s="19" t="s">
        <v>68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71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70</v>
      </c>
      <c r="F28" s="5" t="s">
        <v>30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103</v>
      </c>
      <c r="F29" s="5" t="s">
        <v>55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69</v>
      </c>
      <c r="F30" s="5" t="s">
        <v>30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104</v>
      </c>
      <c r="F31" s="5" t="s">
        <v>55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132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133</v>
      </c>
      <c r="F33" s="5" t="s">
        <v>30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110</v>
      </c>
      <c r="F34" s="5" t="s">
        <v>55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107</v>
      </c>
      <c r="F35" s="5" t="s">
        <v>30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109</v>
      </c>
      <c r="F36" s="5" t="s">
        <v>55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108</v>
      </c>
      <c r="F37" s="5" t="s">
        <v>30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105</v>
      </c>
      <c r="F38" s="5" t="s">
        <v>55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73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74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88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89</v>
      </c>
      <c r="F42" s="5" t="s">
        <v>94</v>
      </c>
      <c r="G42" s="19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106</v>
      </c>
      <c r="F43" s="5" t="s">
        <v>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75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95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197</v>
      </c>
      <c r="F46" s="5" t="s">
        <v>30</v>
      </c>
      <c r="G46" s="5" t="s">
        <v>68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135</v>
      </c>
      <c r="F47" s="5" t="s">
        <v>55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33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134</v>
      </c>
      <c r="F48" s="5" t="s">
        <v>30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33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119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49.5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120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121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122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123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49.5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125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124</v>
      </c>
      <c r="F55" s="5" t="s">
        <v>185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136</v>
      </c>
      <c r="F56" s="5" t="s">
        <v>55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33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126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127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128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129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197</v>
      </c>
      <c r="F61" s="5" t="s">
        <v>30</v>
      </c>
      <c r="G61" s="5" t="s">
        <v>68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20" t="s">
        <v>137</v>
      </c>
      <c r="F62" s="5" t="s">
        <v>55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3" t="s">
        <v>138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139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140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5" t="s">
        <v>141</v>
      </c>
      <c r="F66" s="5" t="s">
        <v>30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5" t="s">
        <v>142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49.5">
      <c r="A68" s="7">
        <v>1</v>
      </c>
      <c r="B68" s="7">
        <v>4</v>
      </c>
      <c r="C68" s="7">
        <v>7</v>
      </c>
      <c r="D68" s="5" t="str">
        <f t="shared" ref="D68:D82" si="1">CONCATENATE("MainScript_",A68,"_",B68,"_",C68)</f>
        <v>MainScript_1_4_7</v>
      </c>
      <c r="E68" s="16" t="s">
        <v>143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144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5" t="s">
        <v>145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5" t="s">
        <v>146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147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148</v>
      </c>
      <c r="F73" s="5" t="s">
        <v>30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5" t="s">
        <v>149</v>
      </c>
      <c r="F74" s="5" t="s">
        <v>30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151</v>
      </c>
      <c r="F75" s="5" t="s">
        <v>55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66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150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197</v>
      </c>
      <c r="F77" s="5" t="s">
        <v>30</v>
      </c>
      <c r="G77" s="5" t="s">
        <v>68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194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195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196</v>
      </c>
      <c r="F80" s="5" t="s">
        <v>30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204</v>
      </c>
      <c r="F81" s="5" t="s">
        <v>198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197</v>
      </c>
      <c r="F82" s="5" t="s">
        <v>30</v>
      </c>
      <c r="G82" s="5" t="s">
        <v>68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84</v>
      </c>
      <c r="B2">
        <v>1</v>
      </c>
      <c r="C2" s="6" t="s">
        <v>86</v>
      </c>
      <c r="D2" s="3" t="s">
        <v>65</v>
      </c>
      <c r="E2" s="3" t="s">
        <v>85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182</v>
      </c>
      <c r="D1" s="2" t="s">
        <v>27</v>
      </c>
    </row>
    <row r="2" spans="1:4" ht="16.5" customHeight="1">
      <c r="A2" s="6" t="s">
        <v>187</v>
      </c>
      <c r="B2" s="29" t="s">
        <v>191</v>
      </c>
      <c r="C2" s="6" t="s">
        <v>183</v>
      </c>
      <c r="D2" s="6"/>
    </row>
    <row r="3" spans="1:4" ht="16.5" customHeight="1">
      <c r="A3" s="6" t="s">
        <v>188</v>
      </c>
      <c r="B3" s="25" t="s">
        <v>190</v>
      </c>
      <c r="C3" s="6" t="s">
        <v>184</v>
      </c>
      <c r="D3" s="6"/>
    </row>
    <row r="4" spans="1:4" ht="16.5" customHeight="1">
      <c r="A4" s="6" t="s">
        <v>189</v>
      </c>
      <c r="B4" s="28" t="s">
        <v>192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5"/>
    </row>
    <row r="9" spans="1:4" ht="16.5" customHeight="1">
      <c r="C9" s="25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2025-06-30T08:40:32Z</dcterms:modified>
</cp:coreProperties>
</file>