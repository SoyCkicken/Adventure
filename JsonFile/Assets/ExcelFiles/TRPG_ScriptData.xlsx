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0" yWindow="3120" windowWidth="31020" windowHeight="11085" activeTab="1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I26" i="2" l="1"/>
  <c r="H26" i="2"/>
  <c r="I13" i="2" l="1"/>
  <c r="H13" i="2"/>
  <c r="D15" i="1" l="1"/>
  <c r="D16" i="1"/>
  <c r="D17" i="1"/>
  <c r="D18" i="1"/>
  <c r="D15" i="2"/>
  <c r="D16" i="2"/>
  <c r="D17" i="2"/>
  <c r="D18" i="2"/>
  <c r="D19" i="2"/>
  <c r="D27" i="2" l="1"/>
  <c r="F26" i="1" s="1"/>
  <c r="D28" i="2"/>
  <c r="F27" i="1" s="1"/>
  <c r="D29" i="2"/>
  <c r="F28" i="1" s="1"/>
  <c r="D30" i="2"/>
  <c r="F29" i="1" s="1"/>
  <c r="D20" i="2"/>
  <c r="F19" i="1" s="1"/>
  <c r="D21" i="1"/>
  <c r="D22" i="1"/>
  <c r="D23" i="1"/>
  <c r="D24" i="1"/>
  <c r="D25" i="1"/>
  <c r="D26" i="1"/>
  <c r="D27" i="1"/>
  <c r="D28" i="1"/>
  <c r="D29" i="1"/>
  <c r="D20" i="1"/>
  <c r="D19" i="1"/>
  <c r="D14" i="1" l="1"/>
  <c r="D13" i="1" l="1"/>
  <c r="D12" i="1"/>
  <c r="D26" i="2" l="1"/>
  <c r="F25" i="1" s="1"/>
  <c r="D25" i="2"/>
  <c r="F24" i="1" s="1"/>
  <c r="D24" i="2"/>
  <c r="F23" i="1" s="1"/>
  <c r="D23" i="2"/>
  <c r="F22" i="1" s="1"/>
  <c r="D22" i="2"/>
  <c r="F21" i="1" s="1"/>
  <c r="D21" i="2"/>
  <c r="F20" i="1" s="1"/>
  <c r="D14" i="2"/>
  <c r="D13" i="2"/>
  <c r="D12" i="2"/>
  <c r="D11" i="2"/>
  <c r="D10" i="2"/>
  <c r="D9" i="2"/>
  <c r="D8" i="2"/>
  <c r="D7" i="2"/>
  <c r="D6" i="2"/>
  <c r="D5" i="2"/>
  <c r="D4" i="2"/>
  <c r="D3" i="2"/>
  <c r="D2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>
  <authors>
    <author/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<sst xmlns="http://schemas.openxmlformats.org/spreadsheetml/2006/main" count="120" uniqueCount="92">
  <si>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</si>
  <si>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</si>
  <si>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</si>
  <si>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</si>
  <si>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</si>
  <si>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</si>
  <si>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</si>
  <si>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</si>
  <si>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</si>
  <si>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</si>
  <si>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</si>
  <si>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</si>
  <si>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</si>
  <si>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</si>
  <si>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</si>
  <si>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</si>
  <si>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</si>
  <si>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</si>
  <si>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</si>
  <si>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</si>
  <si>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</si>
  <si>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</si>
  <si>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</si>
  <si>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</si>
  <si>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</si>
  <si>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</si>
  <si>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</si>
  <si>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</si>
  <si>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</si>
  <si>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</si>
  <si>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</si>
  <si>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</si>
  <si>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</si>
  <si>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</si>
  <si>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</si>
  <si>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</si>
  <si>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</si>
  <si>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</si>
  <si>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</si>
  <si>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</si>
  <si>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5" type="noConversion"/>
  </si>
  <si>
    <t>MainScript_1_1_1</t>
    <phoneticPr fontId="5" type="noConversion"/>
  </si>
  <si>
    <t>TEXT</t>
    <phoneticPr fontId="5" type="noConversion"/>
  </si>
  <si>
    <t>MainScript_1_1_10</t>
  </si>
  <si>
    <t>MainScript_1_1_11</t>
  </si>
  <si>
    <t xml:space="preserve">평온한 마을인 라노스마을
해가 높이 떠올랐고, 바람은 따뜻했다.
나는 그 조용한 일상 속에서 오늘도 변함없이 숨을 죽이며 살아가고 있었다.
</t>
    <phoneticPr fontId="5" type="noConversion"/>
  </si>
  <si>
    <t xml:space="preserve">마을 사람들이 특별히 따돌리진 않았다
하지만 당신을 향한 시선에는 어딘가 설명하기 어려운 거리감이 배어 있었다.
나는 그게 더 편했다.
누구와도 엮이지 않으면, 누군가를 잃는 일도 없을 테니까..
</t>
    <phoneticPr fontId="5" type="noConversion"/>
  </si>
  <si>
    <t xml:space="preserve">그날 아침도 평범했다,
언제나처럼 우물가에서 물을 길었고, 남은 식사를 정리했다.
모두가 자신만의 하루를 살고 있던 평범한 날이였다.
</t>
    <phoneticPr fontId="5" type="noConversion"/>
  </si>
  <si>
    <t xml:space="preserve">하지만 나는 이상한 기척을 순간 느꼈다…
</t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</si>
  <si>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
</t>
    </r>
    <phoneticPr fontId="5" type="noConversion"/>
  </si>
  <si>
    <t xml:space="preserve">멀리서 보이는 흙먼지와 짐승 같은 울음소리, 갑작스러운 비명,
</t>
    <phoneticPr fontId="5" type="noConversion"/>
  </si>
  <si>
    <t xml:space="preserve">마을 입구 쪽이였다.
사람들이 하나 둘 당황한 표정으로 그쪽을 바라보고 있었다.
</t>
    <phoneticPr fontId="5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</si>
  <si>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5" type="noConversion"/>
  </si>
  <si>
    <t xml:space="preserve">거칠게 짖는 괴수들,
날이 빠진 무기를 들고도 거침없이 웃는 산적들.
</t>
    <phoneticPr fontId="5" type="noConversion"/>
  </si>
  <si>
    <t xml:space="preserve">그것은 단순한 약탈이 아니었다.
말살에 가까웠다…
</t>
    <phoneticPr fontId="5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</si>
  <si>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5" type="noConversion"/>
  </si>
  <si>
    <t>Break</t>
    <phoneticPr fontId="5" type="noConversion"/>
  </si>
  <si>
    <t>BATTLE</t>
    <phoneticPr fontId="5" type="noConversion"/>
  </si>
  <si>
    <t>MainScript_1_1_12</t>
  </si>
  <si>
    <t>MainScript_1_1_13</t>
  </si>
  <si>
    <t>monster_002</t>
    <phoneticPr fontId="5" type="noConversion"/>
  </si>
  <si>
    <t>MainScript_1_1_4</t>
  </si>
  <si>
    <t>MainScript_1_1_9</t>
  </si>
  <si>
    <t>MainScript_2_1 테스트 입니다</t>
    <phoneticPr fontId="5" type="noConversion"/>
  </si>
  <si>
    <t>MainScript_2_2  테스트 입니다</t>
    <phoneticPr fontId="5" type="noConversion"/>
  </si>
  <si>
    <t>MainScript_2_3  테스트 입니다</t>
    <phoneticPr fontId="5" type="noConversion"/>
  </si>
  <si>
    <t>MainScript_2_4  테스트 입니다</t>
    <phoneticPr fontId="5" type="noConversion"/>
  </si>
  <si>
    <t>MainScript_2_5  테스트 입니다</t>
    <phoneticPr fontId="5" type="noConversion"/>
  </si>
  <si>
    <t>MainScript_2_6  테스트 입니다</t>
    <phoneticPr fontId="5" type="noConversion"/>
  </si>
  <si>
    <t>MainScript_2_8  테스트 입니다</t>
    <phoneticPr fontId="5" type="noConversion"/>
  </si>
  <si>
    <t>MainScript_2_9  테스트 입니다</t>
    <phoneticPr fontId="5" type="noConversion"/>
  </si>
  <si>
    <t>MainScript_2_10  테스트 입니다</t>
    <phoneticPr fontId="5" type="noConversion"/>
  </si>
  <si>
    <t>MainScript_2_11  테스트 입니다</t>
    <phoneticPr fontId="5" type="noConversion"/>
  </si>
  <si>
    <t>다음 모험으로 떠난다(전투 승리)</t>
    <phoneticPr fontId="5" type="noConversion"/>
  </si>
  <si>
    <r>
      <t>전투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패배</t>
    </r>
    <phoneticPr fontId="5" type="noConversion"/>
  </si>
  <si>
    <t>TEXT</t>
    <phoneticPr fontId="5" type="noConversion"/>
  </si>
  <si>
    <t>양심없네</t>
    <phoneticPr fontId="5" type="noConversion"/>
  </si>
  <si>
    <t>지지</t>
    <phoneticPr fontId="5" type="noConversion"/>
  </si>
  <si>
    <t>TEXT</t>
    <phoneticPr fontId="5" type="noConversion"/>
  </si>
  <si>
    <t>TEXT</t>
    <phoneticPr fontId="5" type="noConversion"/>
  </si>
  <si>
    <t>혹시 몰라서 남겨둠</t>
    <phoneticPr fontId="5" type="noConversion"/>
  </si>
  <si>
    <t>MainScript_1_1_14</t>
  </si>
  <si>
    <t>MainScript_1_1_15</t>
  </si>
  <si>
    <t>MainScript_1_1_16</t>
  </si>
  <si>
    <t>MainScript_1_1_17</t>
  </si>
  <si>
    <t>TEXT</t>
    <phoneticPr fontId="5" type="noConversion"/>
  </si>
  <si>
    <r>
      <t>다음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지역으로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넘어간다</t>
    </r>
    <phoneticPr fontId="5" type="noConversion"/>
  </si>
  <si>
    <t>NEXTWIN</t>
    <phoneticPr fontId="5" type="noConversion"/>
  </si>
  <si>
    <t>NEXTLOSE</t>
    <phoneticPr fontId="5" type="noConversion"/>
  </si>
  <si>
    <t>BATTLE</t>
    <phoneticPr fontId="5" type="noConversion"/>
  </si>
  <si>
    <t>Break</t>
    <phoneticPr fontId="5" type="noConversion"/>
  </si>
  <si>
    <t>Break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</si>
</sst>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3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0"/>
  <sheetViews>
    <sheetView workbookViewId="0">
      <selection activeCell="G18" sqref="G18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8" si="0">CONCATENATE("MainScene_",A2,"_",B2,"_",C2)</f>
        <v>MainScene_1_1_1</v>
      </c>
      <c r="E2" s="3"/>
      <c r="F2" s="5" t="s">
        <v>41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61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62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58</v>
      </c>
      <c r="G13" s="3"/>
      <c r="H13" s="5" t="s">
        <v>59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81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82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83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84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2</v>
      </c>
      <c r="C19" s="4">
        <v>1</v>
      </c>
      <c r="D19" s="3" t="str">
        <f t="shared" ref="D19:D29" si="1">CONCATENATE("MainScene_",A19,"_",B19,"_",C19)</f>
        <v>MainScene_1_2_1</v>
      </c>
      <c r="E19" s="3"/>
      <c r="F19" s="3" t="str">
        <f>Main_Script_Master_Main!D20</f>
        <v>MainScript_1_2_1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2</v>
      </c>
      <c r="C20" s="4">
        <v>2</v>
      </c>
      <c r="D20" s="3" t="str">
        <f t="shared" si="1"/>
        <v>MainScene_1_2_2</v>
      </c>
      <c r="E20" s="3"/>
      <c r="F20" s="3" t="str">
        <f>Main_Script_Master_Main!D21</f>
        <v>MainScript_1_2_2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2</v>
      </c>
      <c r="C21" s="4">
        <v>3</v>
      </c>
      <c r="D21" s="3" t="str">
        <f t="shared" si="1"/>
        <v>MainScene_1_2_3</v>
      </c>
      <c r="E21" s="3"/>
      <c r="F21" s="3" t="str">
        <f>Main_Script_Master_Main!D22</f>
        <v>MainScript_1_2_3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2</v>
      </c>
      <c r="C22" s="4">
        <v>4</v>
      </c>
      <c r="D22" s="3" t="str">
        <f t="shared" si="1"/>
        <v>MainScene_1_2_4</v>
      </c>
      <c r="E22" s="3"/>
      <c r="F22" s="3" t="str">
        <f>Main_Script_Master_Main!D23</f>
        <v>MainScript_1_2_4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2</v>
      </c>
      <c r="C23" s="4">
        <v>5</v>
      </c>
      <c r="D23" s="3" t="str">
        <f t="shared" si="1"/>
        <v>MainScene_1_2_5</v>
      </c>
      <c r="E23" s="3"/>
      <c r="F23" s="3" t="str">
        <f>Main_Script_Master_Main!D24</f>
        <v>MainScript_1_2_5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2</v>
      </c>
      <c r="C24" s="4">
        <v>6</v>
      </c>
      <c r="D24" s="3" t="str">
        <f t="shared" si="1"/>
        <v>MainScene_1_2_6</v>
      </c>
      <c r="E24" s="3"/>
      <c r="F24" s="3" t="str">
        <f>Main_Script_Master_Main!D25</f>
        <v>MainScript_1_2_6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2</v>
      </c>
      <c r="C25" s="4">
        <v>7</v>
      </c>
      <c r="D25" s="3" t="str">
        <f t="shared" si="1"/>
        <v>MainScene_1_2_7</v>
      </c>
      <c r="E25" s="3"/>
      <c r="F25" s="3" t="str">
        <f>Main_Script_Master_Main!D26</f>
        <v>MainScript_1_2_7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8</v>
      </c>
      <c r="D26" s="3" t="str">
        <f t="shared" si="1"/>
        <v>MainScene_1_2_8</v>
      </c>
      <c r="E26" s="3"/>
      <c r="F26" s="3" t="str">
        <f>Main_Script_Master_Main!D27</f>
        <v>MainScript_1_2_8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9</v>
      </c>
      <c r="D27" s="3" t="str">
        <f t="shared" si="1"/>
        <v>MainScene_1_2_9</v>
      </c>
      <c r="E27" s="3"/>
      <c r="F27" s="3" t="str">
        <f>Main_Script_Master_Main!D28</f>
        <v>MainScript_1_2_9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10</v>
      </c>
      <c r="D28" s="3" t="str">
        <f t="shared" si="1"/>
        <v>MainScene_1_2_10</v>
      </c>
      <c r="E28" s="3"/>
      <c r="F28" s="3" t="str">
        <f>Main_Script_Master_Main!D29</f>
        <v>MainScript_1_2_10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11</v>
      </c>
      <c r="D29" s="3" t="str">
        <f t="shared" si="1"/>
        <v>MainScene_1_2_11</v>
      </c>
      <c r="E29" s="3"/>
      <c r="F29" s="3" t="str">
        <f>Main_Script_Master_Main!D30</f>
        <v>MainScript_1_2_11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/>
      <c r="B30" s="4"/>
      <c r="C30" s="4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5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9"/>
  <sheetViews>
    <sheetView tabSelected="1" topLeftCell="A10" zoomScale="85" zoomScaleNormal="85" workbookViewId="0">
      <selection activeCell="H34" sqref="H34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58.42578125" customWidth="1"/>
    <col min="6" max="6" width="13.28515625" bestFit="1" customWidth="1"/>
    <col min="7" max="7" width="12.28515625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 t="s">
        <v>87</v>
      </c>
      <c r="I1" s="5" t="s">
        <v>88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75">
      <c r="A2" s="7">
        <v>1</v>
      </c>
      <c r="B2" s="7">
        <v>1</v>
      </c>
      <c r="C2" s="7">
        <v>1</v>
      </c>
      <c r="D2" s="5" t="str">
        <f t="shared" ref="D2:D19" si="0">CONCATENATE("MainScript_",A2,"_",B2,"_",C2)</f>
        <v>MainScript_1_1_1</v>
      </c>
      <c r="E2" s="13" t="s">
        <v>45</v>
      </c>
      <c r="F2" s="5" t="s">
        <v>40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90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46</v>
      </c>
      <c r="F3" s="5" t="s">
        <v>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6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47</v>
      </c>
      <c r="F4" s="5" t="s">
        <v>40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30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48</v>
      </c>
      <c r="F5" s="5" t="s">
        <v>40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3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4" t="s">
        <v>49</v>
      </c>
      <c r="F6" s="5" t="s">
        <v>40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50</v>
      </c>
      <c r="F7" s="5" t="s">
        <v>40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45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3" t="s">
        <v>51</v>
      </c>
      <c r="F8" s="5" t="s">
        <v>40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9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52</v>
      </c>
      <c r="F9" s="5" t="s">
        <v>40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53</v>
      </c>
      <c r="F10" s="5" t="s">
        <v>42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4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54</v>
      </c>
      <c r="F11" s="5" t="s">
        <v>40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66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5" t="s">
        <v>55</v>
      </c>
      <c r="F12" s="5" t="s">
        <v>40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5" t="s">
        <v>60</v>
      </c>
      <c r="F13" s="5" t="s">
        <v>57</v>
      </c>
      <c r="G13" s="5"/>
      <c r="H13" s="5" t="str">
        <f>VLOOKUP(D14,D14,1,FALSE)</f>
        <v>MainScript_1_1_13</v>
      </c>
      <c r="I13" s="5" t="str">
        <f>VLOOKUP(D16,D16,1,FALSE)</f>
        <v>MainScript_1_1_15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3" t="s">
        <v>73</v>
      </c>
      <c r="F14" s="5" t="s">
        <v>40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13" t="s">
        <v>86</v>
      </c>
      <c r="F15" s="5" t="s">
        <v>75</v>
      </c>
      <c r="G15" s="5" t="s">
        <v>56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3" t="s">
        <v>74</v>
      </c>
      <c r="F16" s="5" t="s">
        <v>78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76</v>
      </c>
      <c r="F17" s="5" t="s">
        <v>79</v>
      </c>
      <c r="G17" s="5" t="s">
        <v>56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77</v>
      </c>
      <c r="F18" s="5" t="s">
        <v>78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80</v>
      </c>
      <c r="F19" s="5" t="s">
        <v>85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>
      <c r="A20" s="7">
        <v>1</v>
      </c>
      <c r="B20" s="7">
        <v>2</v>
      </c>
      <c r="C20" s="7">
        <v>1</v>
      </c>
      <c r="D20" s="5" t="str">
        <f t="shared" ref="D20:D30" si="1">CONCATENATE("MainScript_",A20,"_",B20,"_",C20)</f>
        <v>MainScript_1_2_1</v>
      </c>
      <c r="E20" s="5" t="s">
        <v>63</v>
      </c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>
      <c r="A21" s="7">
        <v>1</v>
      </c>
      <c r="B21" s="7">
        <v>2</v>
      </c>
      <c r="C21" s="7">
        <v>2</v>
      </c>
      <c r="D21" s="5" t="str">
        <f t="shared" si="1"/>
        <v>MainScript_1_2_2</v>
      </c>
      <c r="E21" s="5" t="s">
        <v>64</v>
      </c>
      <c r="F21" s="5" t="s">
        <v>40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>
      <c r="A22" s="7">
        <v>1</v>
      </c>
      <c r="B22" s="7">
        <v>2</v>
      </c>
      <c r="C22" s="7">
        <v>3</v>
      </c>
      <c r="D22" s="5" t="str">
        <f t="shared" si="1"/>
        <v>MainScript_1_2_3</v>
      </c>
      <c r="E22" s="5" t="s">
        <v>65</v>
      </c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>
      <c r="A23" s="7">
        <v>1</v>
      </c>
      <c r="B23" s="7">
        <v>2</v>
      </c>
      <c r="C23" s="7">
        <v>4</v>
      </c>
      <c r="D23" s="5" t="str">
        <f t="shared" si="1"/>
        <v>MainScript_1_2_4</v>
      </c>
      <c r="E23" s="5" t="s">
        <v>66</v>
      </c>
      <c r="F23" s="5" t="s">
        <v>40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>
      <c r="A24" s="7">
        <v>1</v>
      </c>
      <c r="B24" s="7">
        <v>2</v>
      </c>
      <c r="C24" s="7">
        <v>5</v>
      </c>
      <c r="D24" s="5" t="str">
        <f t="shared" si="1"/>
        <v>MainScript_1_2_5</v>
      </c>
      <c r="E24" s="5" t="s">
        <v>67</v>
      </c>
      <c r="F24" s="5" t="s">
        <v>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>
      <c r="A25" s="7">
        <v>1</v>
      </c>
      <c r="B25" s="7">
        <v>2</v>
      </c>
      <c r="C25" s="7">
        <v>6</v>
      </c>
      <c r="D25" s="5" t="str">
        <f t="shared" si="1"/>
        <v>MainScript_1_2_6</v>
      </c>
      <c r="E25" s="5" t="s">
        <v>68</v>
      </c>
      <c r="F25" s="5" t="s">
        <v>40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2</v>
      </c>
      <c r="C26" s="7">
        <v>7</v>
      </c>
      <c r="D26" s="5" t="str">
        <f t="shared" si="1"/>
        <v>MainScript_1_2_7</v>
      </c>
      <c r="E26" s="5" t="s">
        <v>60</v>
      </c>
      <c r="F26" s="5" t="s">
        <v>89</v>
      </c>
      <c r="G26" s="5"/>
      <c r="H26" s="5" t="str">
        <f>VLOOKUP(D27,D27,1,FALSE)</f>
        <v>MainScript_1_2_8</v>
      </c>
      <c r="I26" s="5" t="str">
        <f>VLOOKUP(D29,D29,1,FALSE)</f>
        <v>MainScript_1_2_10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>
      <c r="A27" s="7">
        <v>1</v>
      </c>
      <c r="B27" s="7">
        <v>2</v>
      </c>
      <c r="C27" s="7">
        <v>8</v>
      </c>
      <c r="D27" s="5" t="str">
        <f t="shared" si="1"/>
        <v>MainScript_1_2_8</v>
      </c>
      <c r="E27" s="5" t="s">
        <v>69</v>
      </c>
      <c r="F27" s="5" t="s">
        <v>40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>
        <v>1</v>
      </c>
      <c r="B28" s="7">
        <v>2</v>
      </c>
      <c r="C28" s="7">
        <v>9</v>
      </c>
      <c r="D28" s="5" t="str">
        <f t="shared" si="1"/>
        <v>MainScript_1_2_9</v>
      </c>
      <c r="E28" s="5" t="s">
        <v>70</v>
      </c>
      <c r="F28" s="5" t="s">
        <v>40</v>
      </c>
      <c r="G28" s="5" t="s">
        <v>90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10</v>
      </c>
      <c r="D29" s="5" t="str">
        <f t="shared" si="1"/>
        <v>MainScript_1_2_10</v>
      </c>
      <c r="E29" s="5" t="s">
        <v>71</v>
      </c>
      <c r="F29" s="5" t="s">
        <v>40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>
      <c r="A30" s="7">
        <v>1</v>
      </c>
      <c r="B30" s="7">
        <v>2</v>
      </c>
      <c r="C30" s="7">
        <v>11</v>
      </c>
      <c r="D30" s="5" t="str">
        <f t="shared" si="1"/>
        <v>MainScript_1_2_11</v>
      </c>
      <c r="E30" s="5" t="s">
        <v>72</v>
      </c>
      <c r="F30" s="5" t="s">
        <v>40</v>
      </c>
      <c r="G30" s="5" t="s">
        <v>91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/>
      <c r="B31" s="7"/>
      <c r="C31" s="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/>
      <c r="B32" s="7"/>
      <c r="C32" s="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/>
      <c r="B33" s="7"/>
      <c r="C33" s="7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/>
      <c r="B34" s="7"/>
      <c r="C34" s="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phoneticPr fontId="5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selection activeCell="C32" sqref="C32"/>
    </sheetView>
  </sheetViews>
  <sheetFormatPr defaultColWidth="14.42578125" defaultRowHeight="15" customHeight="1"/>
  <cols>
    <col min="1" max="1" width="14.1406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8.5703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/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SEOULIT</cp:lastModifiedBy>
  <dcterms:created xsi:type="dcterms:W3CDTF">2025-04-11T07:03:54Z</dcterms:created>
  <dcterms:modified xsi:type="dcterms:W3CDTF">2025-06-04T08:53:43Z</dcterms:modified>
</cp:coreProperties>
</file>